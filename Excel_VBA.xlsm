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otonac-my.sharepoint.com/personal/nad1e23_soton_ac_uk/Documents/Documents/MANG2092/"/>
    </mc:Choice>
  </mc:AlternateContent>
  <xr:revisionPtr revIDLastSave="1297" documentId="8_{4C7D0772-468C-442B-AA2F-812E9ECCB0B9}" xr6:coauthVersionLast="47" xr6:coauthVersionMax="47" xr10:uidLastSave="{C0874289-1C92-458E-B639-0981F64E3570}"/>
  <bookViews>
    <workbookView xWindow="-110" yWindow="-110" windowWidth="19420" windowHeight="11500" activeTab="1" xr2:uid="{554CB19D-6381-4F01-8CE7-8103EDAC324A}"/>
  </bookViews>
  <sheets>
    <sheet name="Dashboard" sheetId="1" r:id="rId1"/>
    <sheet name="Investment_Log" sheetId="2" r:id="rId2"/>
    <sheet name="Quick_Calculator" sheetId="3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 a="1"/>
  <c r="E10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<sst xmlns="http://schemas.openxmlformats.org/spreadsheetml/2006/main" count="83" uniqueCount="70">
  <si>
    <t>Timestamp</t>
  </si>
  <si>
    <t xml:space="preserve">Capital Allocation (%) </t>
  </si>
  <si>
    <t>Investment Duration (Years)</t>
  </si>
  <si>
    <t>Sub-sector Return Rate (%)</t>
  </si>
  <si>
    <t>Return Amount (£)</t>
  </si>
  <si>
    <t>Username</t>
  </si>
  <si>
    <t xml:space="preserve">Class 1 </t>
  </si>
  <si>
    <t xml:space="preserve">Class 2 </t>
  </si>
  <si>
    <t>Class 3</t>
  </si>
  <si>
    <t>AI</t>
  </si>
  <si>
    <t xml:space="preserve">Banks </t>
  </si>
  <si>
    <t xml:space="preserve">Energy </t>
  </si>
  <si>
    <t>Supply Chain</t>
  </si>
  <si>
    <t xml:space="preserve">Real Estate </t>
  </si>
  <si>
    <t>Automotive</t>
  </si>
  <si>
    <t xml:space="preserve">Class 3 </t>
  </si>
  <si>
    <t>Total Return</t>
  </si>
  <si>
    <t>Investment Scenario Analysis Tool</t>
  </si>
  <si>
    <t>Capital Allocation Modelling for SW Asset Management</t>
  </si>
  <si>
    <t>Purpose</t>
  </si>
  <si>
    <t>Fixed Information</t>
  </si>
  <si>
    <t>Category</t>
  </si>
  <si>
    <t>Details</t>
  </si>
  <si>
    <t xml:space="preserve">Total Fund Size </t>
  </si>
  <si>
    <t>Class 1</t>
  </si>
  <si>
    <t xml:space="preserve">AI </t>
  </si>
  <si>
    <t>Energy</t>
  </si>
  <si>
    <t>Real Estate</t>
  </si>
  <si>
    <t>Class 2</t>
  </si>
  <si>
    <t>Banks</t>
  </si>
  <si>
    <t>Smart Automotive</t>
  </si>
  <si>
    <t>Input</t>
  </si>
  <si>
    <t>Description</t>
  </si>
  <si>
    <t>Class Allocation (%)</t>
  </si>
  <si>
    <t>Sub-secor Return Rates (%)</t>
  </si>
  <si>
    <t>AI/IT</t>
  </si>
  <si>
    <t>3% - 8%</t>
  </si>
  <si>
    <t>2% - 5%</t>
  </si>
  <si>
    <t>0% - 8%</t>
  </si>
  <si>
    <t>Global Supply Chain</t>
  </si>
  <si>
    <t>6% - 10%</t>
  </si>
  <si>
    <t>5% - 9%</t>
  </si>
  <si>
    <t>10% -15%</t>
  </si>
  <si>
    <t>There are 2 options</t>
  </si>
  <si>
    <t>Variable Inputs when click 'Calculate Return' button</t>
  </si>
  <si>
    <t>2. Auto-Fill: When Auto-Fill is enabled, choosing Worst Case or Best Case automatically fills return rates provided by SW’s industry analytics.</t>
  </si>
  <si>
    <t>How does it works?</t>
  </si>
  <si>
    <t>Click the button to begin. Enter the required inputs in the Scenario Calculator UserForm, then press Calculate. All inputs and their corresponding outputs will be automatically saved in the Investment_Log worksheet.</t>
  </si>
  <si>
    <t>7. All entered values will be checked for validity before calculation.</t>
  </si>
  <si>
    <t>8. Invalid or missing inputs will trigger a message explaining what needs to be corrected.</t>
  </si>
  <si>
    <t>2. Allocation percentages must be 0–100 and the total allocation must not exceed 100%.</t>
  </si>
  <si>
    <t>3. Return rates (%) must be non-negative values.</t>
  </si>
  <si>
    <t>6. When Auto-Fill is disabled, the scenario buttons are inactive and all return rates must be entered manually.</t>
  </si>
  <si>
    <t>1. Enter only numbers in all input fields. Do not use text, symbols, percentage signs, or currency formats. 
Decimals are accepted, but commas (e.g., 10,000) are not.</t>
  </si>
  <si>
    <t>5. When Auto-Fill is enabled, you must click either Worst Case or Best Case. 
The return rates will then be automatically filled using the values provided by SW’s industry analytics.</t>
  </si>
  <si>
    <t>4. Investment duration must be a positive number (years).</t>
  </si>
  <si>
    <t>!  Notes  !</t>
  </si>
  <si>
    <t>Sub-Secor</t>
  </si>
  <si>
    <t>Amount (£)</t>
  </si>
  <si>
    <t>Years</t>
  </si>
  <si>
    <t>Rate (%)</t>
  </si>
  <si>
    <t>There may be times when Terry just wants to check the return of one sub-sector on its own, without running the full scenario tool.
This sheet gives him a quick way to do that using the CalculateReturn(amount, rate, years) function.
He simply enters how much he plans to invest in that sub-sector, the expected return rate (%), and the number of years.
The return is calculated instantly, making it useful for quick what-if checks or comparing the performance of individual sub-sectors before running a full scenario.</t>
  </si>
  <si>
    <t>Return Amount</t>
  </si>
  <si>
    <t>Allocation of Sub-Sectors 
Within Each Class</t>
  </si>
  <si>
    <t>Sub-sector Return Rate provided by SW
(Worst Case - Best Case)</t>
  </si>
  <si>
    <t>User enters the percentage of total capital they want to allocate to each class</t>
  </si>
  <si>
    <t>1. Manual input: The user types the return rate they want to test for each sub-sector</t>
  </si>
  <si>
    <t>User enters the number of years they want to invest</t>
  </si>
  <si>
    <r>
      <t xml:space="preserve">Or user can also perfom simple sub-sector calculations (Quick Calculation) directly in Excel using the public function </t>
    </r>
    <r>
      <rPr>
        <b/>
        <sz val="12"/>
        <color theme="1"/>
        <rFont val="Times New Roman"/>
        <family val="1"/>
      </rPr>
      <t xml:space="preserve">CalculateReturn(amount, rate, years). </t>
    </r>
    <r>
      <rPr>
        <sz val="12"/>
        <color theme="1"/>
        <rFont val="Times New Roman"/>
        <family val="1"/>
      </rPr>
      <t>This offers a fast way of test returns without opening the UserForm.
Note: Enter the amount in pounds (e.g., 2000000 or 2,000,000),the rate as a percentage (e.g., 3 for 3%), and the years as a number (e.g., 2 or 2.5). Negative values are not allowed.</t>
    </r>
  </si>
  <si>
    <t>This workbook is designed to help users explore different investment scenarios. It allows users to input class allocation percentages, sub-sector return rates, and the investment duration to see the return (£) for each scenario tested, calculated using compound growth.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</si>
</sst>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£&quot;#,##0;[Red]\-&quot;£&quot;#,##0"/>
    <numFmt numFmtId="164" formatCode="\£#,##0.00"/>
    <numFmt numFmtId="165" formatCode="dd/mm/yyyy\ hh:mm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sz val="13.5"/>
      <color theme="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Times New Roman"/>
      <family val="1"/>
    </font>
    <font>
      <sz val="32"/>
      <color theme="0"/>
      <name val="Trade Gothic Next Heavy"/>
      <family val="2"/>
    </font>
    <font>
      <b/>
      <sz val="14"/>
      <color theme="0"/>
      <name val="Times New Roman"/>
      <family val="1"/>
    </font>
    <font>
      <b/>
      <sz val="12.5"/>
      <color theme="0"/>
      <name val="Times New Roman"/>
      <family val="1"/>
    </font>
    <font>
      <b/>
      <sz val="12"/>
      <color theme="1"/>
      <name val="Aptos Narrow"/>
      <family val="2"/>
      <scheme val="minor"/>
    </font>
    <font>
      <b/>
      <sz val="22"/>
      <color rgb="FF003366"/>
      <name val="Aharoni"/>
      <charset val="177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B8C0F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right" vertical="center"/>
    </xf>
    <xf numFmtId="0" fontId="1" fillId="2" borderId="5" xfId="0" applyFont="1" applyFill="1" applyBorder="1" applyAlignment="1">
      <alignment horizontal="right" vertical="center"/>
    </xf>
    <xf numFmtId="164" fontId="1" fillId="2" borderId="5" xfId="0" applyNumberFormat="1" applyFont="1" applyFill="1" applyBorder="1" applyAlignment="1">
      <alignment horizontal="right" vertical="center"/>
    </xf>
    <xf numFmtId="164" fontId="1" fillId="2" borderId="6" xfId="0" applyNumberFormat="1" applyFont="1" applyFill="1" applyBorder="1" applyAlignment="1">
      <alignment horizontal="right" vertical="center"/>
    </xf>
    <xf numFmtId="22" fontId="1" fillId="2" borderId="2" xfId="0" applyNumberFormat="1" applyFont="1" applyFill="1" applyBorder="1"/>
    <xf numFmtId="0" fontId="1" fillId="2" borderId="1" xfId="0" applyFont="1" applyFill="1" applyBorder="1"/>
    <xf numFmtId="164" fontId="1" fillId="2" borderId="1" xfId="0" applyNumberFormat="1" applyFont="1" applyFill="1" applyBorder="1"/>
    <xf numFmtId="164" fontId="1" fillId="2" borderId="3" xfId="0" applyNumberFormat="1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6" fillId="5" borderId="0" xfId="0" applyFont="1" applyFill="1" applyAlignment="1">
      <alignment horizontal="left" vertical="center"/>
    </xf>
    <xf numFmtId="0" fontId="6" fillId="5" borderId="0" xfId="0" applyFont="1" applyFill="1"/>
    <xf numFmtId="0" fontId="1" fillId="3" borderId="1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 vertical="center"/>
    </xf>
    <xf numFmtId="0" fontId="0" fillId="0" borderId="1" xfId="0" applyBorder="1" applyAlignment="1">
      <alignment horizontal="right" vertical="center" wrapText="1"/>
    </xf>
    <xf numFmtId="3" fontId="0" fillId="0" borderId="1" xfId="0" applyNumberFormat="1" applyBorder="1" applyAlignment="1">
      <alignment horizontal="right" vertical="center" wrapText="1"/>
    </xf>
    <xf numFmtId="0" fontId="10" fillId="0" borderId="0" xfId="0" applyFont="1"/>
    <xf numFmtId="0" fontId="2" fillId="2" borderId="0" xfId="0" applyFont="1" applyFill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left" vertical="center" wrapText="1"/>
    </xf>
    <xf numFmtId="0" fontId="1" fillId="7" borderId="22" xfId="0" applyFont="1" applyFill="1" applyBorder="1" applyAlignment="1">
      <alignment horizontal="left" vertical="center" wrapText="1"/>
    </xf>
    <xf numFmtId="0" fontId="1" fillId="7" borderId="23" xfId="0" applyFont="1" applyFill="1" applyBorder="1" applyAlignment="1">
      <alignment horizontal="left" vertical="center" wrapText="1"/>
    </xf>
    <xf numFmtId="0" fontId="1" fillId="7" borderId="20" xfId="0" applyFont="1" applyFill="1" applyBorder="1" applyAlignment="1">
      <alignment horizontal="left" vertical="center" wrapText="1"/>
    </xf>
    <xf numFmtId="0" fontId="3" fillId="3" borderId="21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9" fillId="4" borderId="1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 vertical="center" wrapText="1"/>
    </xf>
    <xf numFmtId="0" fontId="1" fillId="3" borderId="22" xfId="0" applyFont="1" applyFill="1" applyBorder="1" applyAlignment="1">
      <alignment horizontal="left" vertical="center" wrapText="1"/>
    </xf>
    <xf numFmtId="0" fontId="1" fillId="3" borderId="7" xfId="0" applyFont="1" applyFill="1" applyBorder="1" applyAlignment="1">
      <alignment horizontal="left" vertical="center" wrapText="1"/>
    </xf>
    <xf numFmtId="0" fontId="1" fillId="3" borderId="24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/>
    </xf>
    <xf numFmtId="0" fontId="1" fillId="3" borderId="24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6" fontId="1" fillId="3" borderId="22" xfId="0" applyNumberFormat="1" applyFont="1" applyFill="1" applyBorder="1" applyAlignment="1">
      <alignment horizontal="left" vertical="center"/>
    </xf>
    <xf numFmtId="6" fontId="1" fillId="3" borderId="18" xfId="0" applyNumberFormat="1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center" vertical="center" wrapText="1"/>
    </xf>
    <xf numFmtId="9" fontId="1" fillId="3" borderId="1" xfId="0" applyNumberFormat="1" applyFont="1" applyFill="1" applyBorder="1" applyAlignment="1">
      <alignment horizontal="left"/>
    </xf>
    <xf numFmtId="9" fontId="1" fillId="3" borderId="22" xfId="0" applyNumberFormat="1" applyFont="1" applyFill="1" applyBorder="1" applyAlignment="1">
      <alignment horizontal="left"/>
    </xf>
    <xf numFmtId="0" fontId="7" fillId="5" borderId="19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6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165" fontId="1" fillId="2" borderId="4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B8C0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7</xdr:row>
          <xdr:rowOff>107950</xdr:rowOff>
        </xdr:from>
        <xdr:to>
          <xdr:col>15</xdr:col>
          <xdr:colOff>584200</xdr:colOff>
          <xdr:row>9</xdr:row>
          <xdr:rowOff>336550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Aharoni"/>
                  <a:cs typeface="Aharoni"/>
                </a:rPr>
                <a:t>Calculate 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74000-19AE-4CA1-ADC0-5533CEA55453}">
  <sheetPr codeName="Sheet1"/>
  <dimension ref="A1:K46"/>
  <sheetViews>
    <sheetView showGridLines="0" zoomScale="79" zoomScaleNormal="136" zoomScaleSheetLayoutView="80" workbookViewId="0">
      <selection activeCell="A37" sqref="A37:K37"/>
    </sheetView>
  </sheetViews>
  <sheetFormatPr defaultRowHeight="14.5" x14ac:dyDescent="0.35"/>
  <cols>
    <col min="1" max="1" width="10.6328125" style="12" customWidth="1"/>
    <col min="2" max="2" width="9.1796875" style="11" customWidth="1"/>
    <col min="3" max="3" width="14.7265625" style="11" customWidth="1"/>
    <col min="4" max="4" width="17.08984375" style="11" customWidth="1"/>
    <col min="5" max="5" width="9.453125" style="11" customWidth="1"/>
    <col min="6" max="6" width="8.984375E-2" style="11" customWidth="1"/>
    <col min="7" max="7" width="14.36328125" style="11" customWidth="1"/>
    <col min="8" max="8" width="10.08984375" style="11" customWidth="1"/>
    <col min="9" max="9" width="7.08984375" style="11" customWidth="1"/>
    <col min="10" max="10" width="7.36328125" style="11" customWidth="1"/>
    <col min="11" max="11" width="14.26953125" style="11" customWidth="1"/>
  </cols>
  <sheetData>
    <row r="1" spans="1:11" ht="14.5" customHeight="1" x14ac:dyDescent="0.35">
      <c r="A1" s="51" t="s">
        <v>17</v>
      </c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ht="14.5" customHeight="1" x14ac:dyDescent="0.3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</row>
    <row r="3" spans="1:11" ht="14.5" customHeight="1" x14ac:dyDescent="0.3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</row>
    <row r="4" spans="1:11" x14ac:dyDescent="0.35">
      <c r="A4" s="14"/>
      <c r="B4" s="53" t="s">
        <v>18</v>
      </c>
      <c r="C4" s="53"/>
      <c r="D4" s="53"/>
      <c r="E4" s="53"/>
      <c r="F4" s="53"/>
      <c r="G4" s="53"/>
      <c r="H4" s="53"/>
      <c r="I4" s="53"/>
      <c r="J4" s="53"/>
      <c r="K4" s="15"/>
    </row>
    <row r="5" spans="1:11" x14ac:dyDescent="0.35">
      <c r="A5" s="14"/>
      <c r="B5" s="53"/>
      <c r="C5" s="53"/>
      <c r="D5" s="53"/>
      <c r="E5" s="53"/>
      <c r="F5" s="53"/>
      <c r="G5" s="53"/>
      <c r="H5" s="53"/>
      <c r="I5" s="53"/>
      <c r="J5" s="53"/>
      <c r="K5" s="15"/>
    </row>
    <row r="6" spans="1:11" ht="15.5" x14ac:dyDescent="0.35">
      <c r="A6" s="57" t="s">
        <v>19</v>
      </c>
      <c r="B6" s="58"/>
      <c r="C6" s="58"/>
      <c r="D6" s="58"/>
      <c r="E6" s="58"/>
      <c r="F6" s="58"/>
      <c r="G6" s="58"/>
      <c r="H6" s="58"/>
      <c r="I6" s="58"/>
      <c r="J6" s="58"/>
      <c r="K6" s="58"/>
    </row>
    <row r="7" spans="1:11" ht="58" customHeight="1" thickBot="1" x14ac:dyDescent="0.4">
      <c r="A7" s="48" t="s">
        <v>69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1" ht="17" customHeight="1" x14ac:dyDescent="0.35">
      <c r="A8" s="54" t="s">
        <v>46</v>
      </c>
      <c r="B8" s="54"/>
      <c r="C8" s="54"/>
      <c r="D8" s="54"/>
      <c r="E8" s="54"/>
      <c r="F8" s="54"/>
      <c r="G8" s="54"/>
      <c r="H8" s="54"/>
      <c r="I8" s="54"/>
      <c r="J8" s="54"/>
      <c r="K8" s="54"/>
    </row>
    <row r="9" spans="1:11" ht="45" customHeight="1" x14ac:dyDescent="0.35">
      <c r="A9" s="55" t="s">
        <v>47</v>
      </c>
      <c r="B9" s="55"/>
      <c r="C9" s="55"/>
      <c r="D9" s="55"/>
      <c r="E9" s="55"/>
      <c r="F9" s="55"/>
      <c r="G9" s="55"/>
      <c r="H9" s="55"/>
      <c r="I9" s="55"/>
      <c r="J9" s="55"/>
      <c r="K9" s="56"/>
    </row>
    <row r="10" spans="1:11" ht="68.5" customHeight="1" thickBot="1" x14ac:dyDescent="0.4">
      <c r="A10" s="30" t="s">
        <v>68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</row>
    <row r="11" spans="1:11" s="13" customFormat="1" ht="15.5" x14ac:dyDescent="0.35">
      <c r="A11" s="34" t="s">
        <v>20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</row>
    <row r="12" spans="1:11" ht="15.5" x14ac:dyDescent="0.35">
      <c r="A12" s="44" t="s">
        <v>21</v>
      </c>
      <c r="B12" s="44"/>
      <c r="C12" s="44"/>
      <c r="D12" s="44" t="s">
        <v>22</v>
      </c>
      <c r="E12" s="44"/>
      <c r="F12" s="44"/>
      <c r="G12" s="44"/>
      <c r="H12" s="44"/>
      <c r="I12" s="44"/>
      <c r="J12" s="44"/>
      <c r="K12" s="45"/>
    </row>
    <row r="13" spans="1:11" x14ac:dyDescent="0.35">
      <c r="A13" s="35" t="s">
        <v>23</v>
      </c>
      <c r="B13" s="35"/>
      <c r="C13" s="35"/>
      <c r="D13" s="46">
        <v>10000000000</v>
      </c>
      <c r="E13" s="47"/>
      <c r="F13" s="47"/>
      <c r="G13" s="47"/>
      <c r="H13" s="47"/>
      <c r="I13" s="47"/>
      <c r="J13" s="47"/>
      <c r="K13" s="47"/>
    </row>
    <row r="14" spans="1:11" x14ac:dyDescent="0.35">
      <c r="A14" s="36" t="s">
        <v>63</v>
      </c>
      <c r="B14" s="36"/>
      <c r="C14" s="36"/>
      <c r="D14" s="40" t="s">
        <v>24</v>
      </c>
      <c r="E14" s="40"/>
      <c r="F14" s="40"/>
      <c r="G14" s="35" t="s">
        <v>25</v>
      </c>
      <c r="H14" s="35"/>
      <c r="I14" s="35"/>
      <c r="J14" s="49">
        <v>0.2</v>
      </c>
      <c r="K14" s="50"/>
    </row>
    <row r="15" spans="1:11" x14ac:dyDescent="0.35">
      <c r="A15" s="36"/>
      <c r="B15" s="36"/>
      <c r="C15" s="36"/>
      <c r="D15" s="40"/>
      <c r="E15" s="40"/>
      <c r="F15" s="40"/>
      <c r="G15" s="35" t="s">
        <v>26</v>
      </c>
      <c r="H15" s="35"/>
      <c r="I15" s="35"/>
      <c r="J15" s="49">
        <v>0.5</v>
      </c>
      <c r="K15" s="50"/>
    </row>
    <row r="16" spans="1:11" ht="18" customHeight="1" x14ac:dyDescent="0.35">
      <c r="A16" s="36"/>
      <c r="B16" s="36"/>
      <c r="C16" s="36"/>
      <c r="D16" s="40"/>
      <c r="E16" s="40"/>
      <c r="F16" s="40"/>
      <c r="G16" s="35" t="s">
        <v>27</v>
      </c>
      <c r="H16" s="35"/>
      <c r="I16" s="35"/>
      <c r="J16" s="49">
        <v>0.3</v>
      </c>
      <c r="K16" s="50"/>
    </row>
    <row r="17" spans="1:11" x14ac:dyDescent="0.35">
      <c r="A17" s="36"/>
      <c r="B17" s="36"/>
      <c r="C17" s="36"/>
      <c r="D17" s="40" t="s">
        <v>28</v>
      </c>
      <c r="E17" s="40"/>
      <c r="F17" s="40"/>
      <c r="G17" s="35" t="s">
        <v>25</v>
      </c>
      <c r="H17" s="35"/>
      <c r="I17" s="35"/>
      <c r="J17" s="49">
        <v>0.2</v>
      </c>
      <c r="K17" s="50"/>
    </row>
    <row r="18" spans="1:11" x14ac:dyDescent="0.35">
      <c r="A18" s="36"/>
      <c r="B18" s="36"/>
      <c r="C18" s="36"/>
      <c r="D18" s="40"/>
      <c r="E18" s="40"/>
      <c r="F18" s="40"/>
      <c r="G18" s="35" t="s">
        <v>29</v>
      </c>
      <c r="H18" s="35"/>
      <c r="I18" s="35"/>
      <c r="J18" s="49">
        <v>0.6</v>
      </c>
      <c r="K18" s="50"/>
    </row>
    <row r="19" spans="1:11" x14ac:dyDescent="0.35">
      <c r="A19" s="36"/>
      <c r="B19" s="36"/>
      <c r="C19" s="36"/>
      <c r="D19" s="40"/>
      <c r="E19" s="40"/>
      <c r="F19" s="40"/>
      <c r="G19" s="35" t="s">
        <v>26</v>
      </c>
      <c r="H19" s="35"/>
      <c r="I19" s="35"/>
      <c r="J19" s="49">
        <v>0.2</v>
      </c>
      <c r="K19" s="50"/>
    </row>
    <row r="20" spans="1:11" x14ac:dyDescent="0.35">
      <c r="A20" s="36"/>
      <c r="B20" s="36"/>
      <c r="C20" s="36"/>
      <c r="D20" s="40" t="s">
        <v>8</v>
      </c>
      <c r="E20" s="40"/>
      <c r="F20" s="40"/>
      <c r="G20" s="35" t="s">
        <v>26</v>
      </c>
      <c r="H20" s="35"/>
      <c r="I20" s="35"/>
      <c r="J20" s="49">
        <v>0.25</v>
      </c>
      <c r="K20" s="50"/>
    </row>
    <row r="21" spans="1:11" x14ac:dyDescent="0.35">
      <c r="A21" s="36"/>
      <c r="B21" s="36"/>
      <c r="C21" s="36"/>
      <c r="D21" s="40"/>
      <c r="E21" s="40"/>
      <c r="F21" s="40"/>
      <c r="G21" s="35" t="s">
        <v>39</v>
      </c>
      <c r="H21" s="35"/>
      <c r="I21" s="35"/>
      <c r="J21" s="49">
        <v>0.25</v>
      </c>
      <c r="K21" s="50"/>
    </row>
    <row r="22" spans="1:11" x14ac:dyDescent="0.35">
      <c r="A22" s="36"/>
      <c r="B22" s="36"/>
      <c r="C22" s="36"/>
      <c r="D22" s="40"/>
      <c r="E22" s="40"/>
      <c r="F22" s="40"/>
      <c r="G22" s="35" t="s">
        <v>30</v>
      </c>
      <c r="H22" s="35"/>
      <c r="I22" s="35"/>
      <c r="J22" s="49">
        <v>0.5</v>
      </c>
      <c r="K22" s="50"/>
    </row>
    <row r="23" spans="1:11" x14ac:dyDescent="0.35">
      <c r="A23" s="36" t="s">
        <v>64</v>
      </c>
      <c r="B23" s="36"/>
      <c r="C23" s="36"/>
      <c r="D23" s="35" t="s">
        <v>35</v>
      </c>
      <c r="E23" s="35"/>
      <c r="F23" s="16"/>
      <c r="G23" s="35" t="s">
        <v>36</v>
      </c>
      <c r="H23" s="35"/>
      <c r="I23" s="35"/>
      <c r="J23" s="35"/>
      <c r="K23" s="32"/>
    </row>
    <row r="24" spans="1:11" x14ac:dyDescent="0.35">
      <c r="A24" s="36"/>
      <c r="B24" s="36"/>
      <c r="C24" s="36"/>
      <c r="D24" s="35" t="s">
        <v>29</v>
      </c>
      <c r="E24" s="35"/>
      <c r="F24" s="16"/>
      <c r="G24" s="35" t="s">
        <v>37</v>
      </c>
      <c r="H24" s="35"/>
      <c r="I24" s="35"/>
      <c r="J24" s="35"/>
      <c r="K24" s="32"/>
    </row>
    <row r="25" spans="1:11" x14ac:dyDescent="0.35">
      <c r="A25" s="36"/>
      <c r="B25" s="36"/>
      <c r="C25" s="36"/>
      <c r="D25" s="35" t="s">
        <v>26</v>
      </c>
      <c r="E25" s="35"/>
      <c r="F25" s="16"/>
      <c r="G25" s="35" t="s">
        <v>38</v>
      </c>
      <c r="H25" s="35"/>
      <c r="I25" s="35"/>
      <c r="J25" s="35"/>
      <c r="K25" s="32"/>
    </row>
    <row r="26" spans="1:11" x14ac:dyDescent="0.35">
      <c r="A26" s="36"/>
      <c r="B26" s="36"/>
      <c r="C26" s="36"/>
      <c r="D26" s="35" t="s">
        <v>39</v>
      </c>
      <c r="E26" s="35"/>
      <c r="F26" s="16"/>
      <c r="G26" s="35" t="s">
        <v>40</v>
      </c>
      <c r="H26" s="35"/>
      <c r="I26" s="35"/>
      <c r="J26" s="35"/>
      <c r="K26" s="32"/>
    </row>
    <row r="27" spans="1:11" x14ac:dyDescent="0.35">
      <c r="A27" s="36"/>
      <c r="B27" s="36"/>
      <c r="C27" s="36"/>
      <c r="D27" s="35" t="s">
        <v>13</v>
      </c>
      <c r="E27" s="35"/>
      <c r="F27" s="16"/>
      <c r="G27" s="35" t="s">
        <v>41</v>
      </c>
      <c r="H27" s="35"/>
      <c r="I27" s="35"/>
      <c r="J27" s="35"/>
      <c r="K27" s="32"/>
    </row>
    <row r="28" spans="1:11" ht="15" thickBot="1" x14ac:dyDescent="0.4">
      <c r="A28" s="38"/>
      <c r="B28" s="38"/>
      <c r="C28" s="38"/>
      <c r="D28" s="42" t="s">
        <v>30</v>
      </c>
      <c r="E28" s="42"/>
      <c r="F28" s="17"/>
      <c r="G28" s="42" t="s">
        <v>42</v>
      </c>
      <c r="H28" s="42"/>
      <c r="I28" s="42"/>
      <c r="J28" s="42"/>
      <c r="K28" s="43"/>
    </row>
    <row r="29" spans="1:11" ht="17" customHeight="1" x14ac:dyDescent="0.35">
      <c r="A29" s="34" t="s">
        <v>44</v>
      </c>
      <c r="B29" s="34"/>
      <c r="C29" s="34"/>
      <c r="D29" s="34"/>
      <c r="E29" s="34"/>
      <c r="F29" s="34"/>
      <c r="G29" s="34"/>
      <c r="H29" s="34"/>
      <c r="I29" s="34"/>
      <c r="J29" s="34"/>
      <c r="K29" s="34"/>
    </row>
    <row r="30" spans="1:11" ht="15.5" x14ac:dyDescent="0.35">
      <c r="A30" s="44" t="s">
        <v>31</v>
      </c>
      <c r="B30" s="44"/>
      <c r="C30" s="44"/>
      <c r="D30" s="44" t="s">
        <v>32</v>
      </c>
      <c r="E30" s="44"/>
      <c r="F30" s="44"/>
      <c r="G30" s="44"/>
      <c r="H30" s="44"/>
      <c r="I30" s="44"/>
      <c r="J30" s="44"/>
      <c r="K30" s="45"/>
    </row>
    <row r="31" spans="1:11" x14ac:dyDescent="0.35">
      <c r="A31" s="35" t="s">
        <v>33</v>
      </c>
      <c r="B31" s="35"/>
      <c r="C31" s="35"/>
      <c r="D31" s="35" t="s">
        <v>65</v>
      </c>
      <c r="E31" s="35"/>
      <c r="F31" s="35"/>
      <c r="G31" s="35"/>
      <c r="H31" s="35"/>
      <c r="I31" s="35"/>
      <c r="J31" s="35"/>
      <c r="K31" s="32"/>
    </row>
    <row r="32" spans="1:11" x14ac:dyDescent="0.35">
      <c r="A32" s="35" t="s">
        <v>2</v>
      </c>
      <c r="B32" s="35"/>
      <c r="C32" s="35"/>
      <c r="D32" s="32" t="s">
        <v>67</v>
      </c>
      <c r="E32" s="33"/>
      <c r="F32" s="33"/>
      <c r="G32" s="33"/>
      <c r="H32" s="33"/>
      <c r="I32" s="33"/>
      <c r="J32" s="33"/>
      <c r="K32" s="33"/>
    </row>
    <row r="33" spans="1:11" ht="32.5" customHeight="1" x14ac:dyDescent="0.35">
      <c r="A33" s="40" t="s">
        <v>34</v>
      </c>
      <c r="B33" s="40"/>
      <c r="C33" s="40"/>
      <c r="D33" s="36" t="s">
        <v>43</v>
      </c>
      <c r="E33" s="36" t="s">
        <v>66</v>
      </c>
      <c r="F33" s="36"/>
      <c r="G33" s="36"/>
      <c r="H33" s="36"/>
      <c r="I33" s="36"/>
      <c r="J33" s="36"/>
      <c r="K33" s="37"/>
    </row>
    <row r="34" spans="1:11" ht="25" customHeight="1" x14ac:dyDescent="0.35">
      <c r="A34" s="40"/>
      <c r="B34" s="40"/>
      <c r="C34" s="40"/>
      <c r="D34" s="36"/>
      <c r="E34" s="36" t="s">
        <v>45</v>
      </c>
      <c r="F34" s="36"/>
      <c r="G34" s="36"/>
      <c r="H34" s="36"/>
      <c r="I34" s="36"/>
      <c r="J34" s="36"/>
      <c r="K34" s="37"/>
    </row>
    <row r="35" spans="1:11" ht="7" customHeight="1" thickBot="1" x14ac:dyDescent="0.4">
      <c r="A35" s="41"/>
      <c r="B35" s="41"/>
      <c r="C35" s="41"/>
      <c r="D35" s="38"/>
      <c r="E35" s="38"/>
      <c r="F35" s="38"/>
      <c r="G35" s="38"/>
      <c r="H35" s="38"/>
      <c r="I35" s="38"/>
      <c r="J35" s="38"/>
      <c r="K35" s="39"/>
    </row>
    <row r="36" spans="1:11" s="11" customFormat="1" ht="23.5" customHeight="1" x14ac:dyDescent="0.3">
      <c r="A36" s="31" t="s">
        <v>56</v>
      </c>
      <c r="B36" s="31"/>
      <c r="C36" s="31"/>
      <c r="D36" s="31"/>
      <c r="E36" s="31"/>
      <c r="F36" s="31"/>
      <c r="G36" s="31"/>
      <c r="H36" s="31"/>
      <c r="I36" s="31"/>
      <c r="J36" s="31"/>
      <c r="K36" s="31"/>
    </row>
    <row r="37" spans="1:11" s="11" customFormat="1" ht="29.5" customHeight="1" x14ac:dyDescent="0.3">
      <c r="A37" s="26" t="s">
        <v>53</v>
      </c>
      <c r="B37" s="26"/>
      <c r="C37" s="26"/>
      <c r="D37" s="26"/>
      <c r="E37" s="26"/>
      <c r="F37" s="26"/>
      <c r="G37" s="26"/>
      <c r="H37" s="26"/>
      <c r="I37" s="26"/>
      <c r="J37" s="26"/>
      <c r="K37" s="27"/>
    </row>
    <row r="38" spans="1:11" s="11" customFormat="1" ht="14" x14ac:dyDescent="0.3">
      <c r="A38" s="26" t="s">
        <v>50</v>
      </c>
      <c r="B38" s="26"/>
      <c r="C38" s="26"/>
      <c r="D38" s="26"/>
      <c r="E38" s="26"/>
      <c r="F38" s="26"/>
      <c r="G38" s="26"/>
      <c r="H38" s="26"/>
      <c r="I38" s="26"/>
      <c r="J38" s="26"/>
      <c r="K38" s="27"/>
    </row>
    <row r="39" spans="1:11" s="11" customFormat="1" ht="14" x14ac:dyDescent="0.3">
      <c r="A39" s="26" t="s">
        <v>51</v>
      </c>
      <c r="B39" s="26"/>
      <c r="C39" s="26"/>
      <c r="D39" s="26"/>
      <c r="E39" s="26"/>
      <c r="F39" s="26"/>
      <c r="G39" s="26"/>
      <c r="H39" s="26"/>
      <c r="I39" s="26"/>
      <c r="J39" s="26"/>
      <c r="K39" s="27"/>
    </row>
    <row r="40" spans="1:11" s="11" customFormat="1" ht="14" x14ac:dyDescent="0.3">
      <c r="A40" s="26" t="s">
        <v>55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s="11" customFormat="1" ht="32" customHeight="1" x14ac:dyDescent="0.3">
      <c r="A41" s="26" t="s">
        <v>54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s="11" customFormat="1" ht="14" x14ac:dyDescent="0.3">
      <c r="A42" s="26" t="s">
        <v>52</v>
      </c>
      <c r="B42" s="26"/>
      <c r="C42" s="26"/>
      <c r="D42" s="26"/>
      <c r="E42" s="26"/>
      <c r="F42" s="26"/>
      <c r="G42" s="26"/>
      <c r="H42" s="26"/>
      <c r="I42" s="26"/>
      <c r="J42" s="26"/>
      <c r="K42" s="27"/>
    </row>
    <row r="43" spans="1:11" s="11" customFormat="1" ht="14" x14ac:dyDescent="0.3">
      <c r="A43" s="26" t="s">
        <v>48</v>
      </c>
      <c r="B43" s="26"/>
      <c r="C43" s="26"/>
      <c r="D43" s="26"/>
      <c r="E43" s="26"/>
      <c r="F43" s="26"/>
      <c r="G43" s="26"/>
      <c r="H43" s="26"/>
      <c r="I43" s="26"/>
      <c r="J43" s="26"/>
      <c r="K43" s="27"/>
    </row>
    <row r="44" spans="1:11" s="11" customFormat="1" ht="14" x14ac:dyDescent="0.3">
      <c r="A44" s="28" t="s">
        <v>49</v>
      </c>
      <c r="B44" s="29"/>
      <c r="C44" s="29"/>
      <c r="D44" s="29"/>
      <c r="E44" s="29"/>
      <c r="F44" s="29"/>
      <c r="G44" s="29"/>
      <c r="H44" s="29"/>
      <c r="I44" s="29"/>
      <c r="J44" s="29"/>
      <c r="K44" s="29"/>
    </row>
    <row r="45" spans="1:11" s="11" customFormat="1" ht="14" x14ac:dyDescent="0.3">
      <c r="A45" s="12"/>
    </row>
    <row r="46" spans="1:11" s="11" customFormat="1" ht="14" x14ac:dyDescent="0.3">
      <c r="A46" s="12"/>
    </row>
  </sheetData>
  <mergeCells count="67">
    <mergeCell ref="A1:K3"/>
    <mergeCell ref="B4:J5"/>
    <mergeCell ref="A12:C12"/>
    <mergeCell ref="A8:K8"/>
    <mergeCell ref="D12:K12"/>
    <mergeCell ref="A9:K9"/>
    <mergeCell ref="A6:K6"/>
    <mergeCell ref="A7:K7"/>
    <mergeCell ref="J14:K14"/>
    <mergeCell ref="J15:K15"/>
    <mergeCell ref="J16:K16"/>
    <mergeCell ref="J17:K17"/>
    <mergeCell ref="D14:F16"/>
    <mergeCell ref="D17:F19"/>
    <mergeCell ref="A13:C13"/>
    <mergeCell ref="A14:C22"/>
    <mergeCell ref="A23:C28"/>
    <mergeCell ref="D23:E23"/>
    <mergeCell ref="D24:E24"/>
    <mergeCell ref="D25:E25"/>
    <mergeCell ref="D26:E26"/>
    <mergeCell ref="D27:E27"/>
    <mergeCell ref="D28:E28"/>
    <mergeCell ref="D13:K13"/>
    <mergeCell ref="D20:F22"/>
    <mergeCell ref="J18:K18"/>
    <mergeCell ref="J19:K19"/>
    <mergeCell ref="J20:K20"/>
    <mergeCell ref="J21:K21"/>
    <mergeCell ref="J22:K22"/>
    <mergeCell ref="G19:I19"/>
    <mergeCell ref="G20:I20"/>
    <mergeCell ref="G21:I21"/>
    <mergeCell ref="G22:I22"/>
    <mergeCell ref="D30:K30"/>
    <mergeCell ref="G23:K23"/>
    <mergeCell ref="G24:K24"/>
    <mergeCell ref="G25:K25"/>
    <mergeCell ref="G26:K26"/>
    <mergeCell ref="G27:K27"/>
    <mergeCell ref="G14:I14"/>
    <mergeCell ref="G15:I15"/>
    <mergeCell ref="G16:I16"/>
    <mergeCell ref="G17:I17"/>
    <mergeCell ref="G18:I18"/>
    <mergeCell ref="E33:K33"/>
    <mergeCell ref="E34:K35"/>
    <mergeCell ref="D33:D35"/>
    <mergeCell ref="A33:C35"/>
    <mergeCell ref="G28:K28"/>
    <mergeCell ref="A30:C30"/>
    <mergeCell ref="A42:K42"/>
    <mergeCell ref="A43:K43"/>
    <mergeCell ref="A44:K44"/>
    <mergeCell ref="A10:K10"/>
    <mergeCell ref="A36:K36"/>
    <mergeCell ref="D32:K32"/>
    <mergeCell ref="A11:K11"/>
    <mergeCell ref="A29:K29"/>
    <mergeCell ref="A37:K37"/>
    <mergeCell ref="A38:K38"/>
    <mergeCell ref="A39:K39"/>
    <mergeCell ref="A40:K40"/>
    <mergeCell ref="A41:K41"/>
    <mergeCell ref="A31:C31"/>
    <mergeCell ref="A32:C32"/>
    <mergeCell ref="D31:K3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ScenarioCalculator">
                <anchor moveWithCells="1" sizeWithCells="1">
                  <from>
                    <xdr:col>11</xdr:col>
                    <xdr:colOff>381000</xdr:colOff>
                    <xdr:row>7</xdr:row>
                    <xdr:rowOff>107950</xdr:rowOff>
                  </from>
                  <to>
                    <xdr:col>15</xdr:col>
                    <xdr:colOff>584200</xdr:colOff>
                    <xdr:row>9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15A9F-9D6F-4FAC-B41C-D9713CDCE87B}">
  <sheetPr codeName="Sheet2"/>
  <dimension ref="A1:P10"/>
  <sheetViews>
    <sheetView tabSelected="1" zoomScale="59" zoomScaleNormal="100" workbookViewId="0">
      <pane ySplit="2" topLeftCell="A3" activePane="bottomLeft" state="frozen"/>
      <selection pane="bottomLeft" activeCell="P3" sqref="A3:P5"/>
    </sheetView>
  </sheetViews>
  <sheetFormatPr defaultRowHeight="14.5" x14ac:dyDescent="0.35"/>
  <cols>
    <col min="1" max="1" width="16.90625" style="9" customWidth="1"/>
    <col min="2" max="2" width="13.26953125" style="6" customWidth="1"/>
    <col min="3" max="3" width="23.26953125" style="6" customWidth="1"/>
    <col min="4" max="6" width="11" style="6" customWidth="1"/>
    <col min="7" max="7" width="6.6328125" style="6" customWidth="1"/>
    <col min="8" max="8" width="9.08984375" style="6" customWidth="1"/>
    <col min="9" max="9" width="9.54296875" style="6" customWidth="1"/>
    <col min="10" max="10" width="16.26953125" style="6" customWidth="1"/>
    <col min="11" max="11" width="13.453125" style="6" customWidth="1"/>
    <col min="12" max="12" width="15.453125" style="6" customWidth="1"/>
    <col min="13" max="15" width="15.1796875" style="6" bestFit="1" customWidth="1"/>
    <col min="16" max="16" width="16.08984375" style="10" bestFit="1" customWidth="1"/>
    <col min="17" max="17" width="11" bestFit="1" customWidth="1"/>
  </cols>
  <sheetData>
    <row r="1" spans="1:16" s="22" customFormat="1" ht="25.5" customHeight="1" x14ac:dyDescent="0.35">
      <c r="A1" s="65" t="s">
        <v>0</v>
      </c>
      <c r="B1" s="59" t="s">
        <v>5</v>
      </c>
      <c r="C1" s="59" t="s">
        <v>2</v>
      </c>
      <c r="D1" s="61" t="s">
        <v>1</v>
      </c>
      <c r="E1" s="62"/>
      <c r="F1" s="63"/>
      <c r="G1" s="61" t="s">
        <v>3</v>
      </c>
      <c r="H1" s="62"/>
      <c r="I1" s="62"/>
      <c r="J1" s="62"/>
      <c r="K1" s="62"/>
      <c r="L1" s="63"/>
      <c r="M1" s="61" t="s">
        <v>4</v>
      </c>
      <c r="N1" s="62"/>
      <c r="O1" s="62"/>
      <c r="P1" s="64"/>
    </row>
    <row r="2" spans="1:16" s="22" customFormat="1" ht="25.5" customHeight="1" thickBot="1" x14ac:dyDescent="0.4">
      <c r="A2" s="66"/>
      <c r="B2" s="60"/>
      <c r="C2" s="60"/>
      <c r="D2" s="23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3" t="s">
        <v>13</v>
      </c>
      <c r="L2" s="23" t="s">
        <v>14</v>
      </c>
      <c r="M2" s="23" t="s">
        <v>6</v>
      </c>
      <c r="N2" s="23" t="s">
        <v>7</v>
      </c>
      <c r="O2" s="23" t="s">
        <v>15</v>
      </c>
      <c r="P2" s="24" t="s">
        <v>16</v>
      </c>
    </row>
    <row r="3" spans="1:16" s="1" customFormat="1" x14ac:dyDescent="0.35">
      <c r="A3" s="68"/>
      <c r="B3" s="18"/>
      <c r="C3" s="2"/>
      <c r="D3" s="2"/>
      <c r="E3" s="2"/>
      <c r="F3" s="2"/>
      <c r="G3" s="2"/>
      <c r="H3" s="2"/>
      <c r="I3" s="2"/>
      <c r="J3" s="2"/>
      <c r="K3" s="2"/>
      <c r="L3" s="2"/>
      <c r="M3" s="3"/>
      <c r="N3" s="3"/>
      <c r="O3" s="3"/>
      <c r="P3" s="4"/>
    </row>
    <row r="4" spans="1:16" x14ac:dyDescent="0.35">
      <c r="A4" s="5"/>
      <c r="M4" s="7"/>
      <c r="N4" s="7"/>
      <c r="O4" s="7"/>
      <c r="P4" s="8"/>
    </row>
    <row r="5" spans="1:16" x14ac:dyDescent="0.35">
      <c r="A5" s="5"/>
      <c r="M5" s="7"/>
      <c r="N5" s="7"/>
      <c r="O5" s="7"/>
      <c r="P5" s="8"/>
    </row>
    <row r="6" spans="1:16" x14ac:dyDescent="0.35">
      <c r="A6" s="5"/>
      <c r="M6" s="7"/>
      <c r="N6" s="7"/>
      <c r="O6" s="7"/>
      <c r="P6" s="8"/>
    </row>
    <row r="7" spans="1:16" x14ac:dyDescent="0.35">
      <c r="A7" s="5"/>
      <c r="M7" s="7"/>
      <c r="N7" s="7"/>
      <c r="O7" s="7"/>
      <c r="P7" s="8"/>
    </row>
    <row r="8" spans="1:16" x14ac:dyDescent="0.35">
      <c r="A8" s="5"/>
      <c r="M8" s="7"/>
      <c r="N8" s="7"/>
      <c r="O8" s="7"/>
      <c r="P8" s="8"/>
    </row>
    <row r="9" spans="1:16" x14ac:dyDescent="0.35">
      <c r="A9" s="5"/>
      <c r="M9" s="7"/>
      <c r="N9" s="7"/>
      <c r="O9" s="7"/>
      <c r="P9" s="8"/>
    </row>
    <row r="10" spans="1:16" x14ac:dyDescent="0.35">
      <c r="A10" s="5"/>
      <c r="M10" s="7"/>
      <c r="N10" s="7"/>
      <c r="O10" s="7"/>
      <c r="P10" s="8"/>
    </row>
  </sheetData>
  <mergeCells count="6">
    <mergeCell ref="C1:C2"/>
    <mergeCell ref="D1:F1"/>
    <mergeCell ref="G1:L1"/>
    <mergeCell ref="M1:P1"/>
    <mergeCell ref="A1:A2"/>
    <mergeCell ref="B1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3C98-D11A-4D30-96CE-A05E80320867}">
  <sheetPr codeName="Sheet3"/>
  <dimension ref="A1:M10"/>
  <sheetViews>
    <sheetView zoomScaleNormal="100" workbookViewId="0">
      <selection activeCell="F14" sqref="F14"/>
    </sheetView>
  </sheetViews>
  <sheetFormatPr defaultRowHeight="14.5" x14ac:dyDescent="0.35"/>
  <cols>
    <col min="1" max="1" width="14" customWidth="1"/>
    <col min="2" max="2" width="14.81640625" customWidth="1"/>
    <col min="3" max="3" width="12.08984375" customWidth="1"/>
    <col min="4" max="4" width="8.26953125" customWidth="1"/>
    <col min="5" max="5" width="16.81640625" customWidth="1"/>
    <col min="6" max="6" width="9.6328125" customWidth="1"/>
    <col min="7" max="7" width="9.7265625" customWidth="1"/>
    <col min="8" max="8" width="10.26953125" customWidth="1"/>
    <col min="9" max="9" width="11" customWidth="1"/>
    <col min="10" max="10" width="10" customWidth="1"/>
    <col min="11" max="11" width="12.7265625" customWidth="1"/>
  </cols>
  <sheetData>
    <row r="1" spans="1:13" ht="14.5" customHeight="1" x14ac:dyDescent="0.35">
      <c r="A1" s="67" t="s">
        <v>61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 ht="14.5" customHeight="1" x14ac:dyDescent="0.3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14.5" customHeight="1" x14ac:dyDescent="0.35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</row>
    <row r="4" spans="1:13" ht="14.5" customHeight="1" x14ac:dyDescent="0.35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</row>
    <row r="5" spans="1:13" ht="14.5" customHeight="1" x14ac:dyDescent="0.3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</row>
    <row r="6" spans="1:13" ht="14.5" customHeight="1" x14ac:dyDescent="0.35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</row>
    <row r="7" spans="1:13" ht="14.5" customHeight="1" x14ac:dyDescent="0.3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</row>
    <row r="8" spans="1:13" ht="14.5" customHeight="1" x14ac:dyDescent="0.35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</row>
    <row r="9" spans="1:13" s="21" customFormat="1" ht="24.5" customHeight="1" x14ac:dyDescent="0.4">
      <c r="A9" s="25" t="s">
        <v>57</v>
      </c>
      <c r="B9" s="25" t="s">
        <v>58</v>
      </c>
      <c r="C9" s="25" t="s">
        <v>60</v>
      </c>
      <c r="D9" s="25" t="s">
        <v>59</v>
      </c>
      <c r="E9" s="25" t="s">
        <v>62</v>
      </c>
    </row>
    <row r="10" spans="1:13" x14ac:dyDescent="0.35">
      <c r="A10" s="19" t="s">
        <v>35</v>
      </c>
      <c r="B10" s="20">
        <v>50000</v>
      </c>
      <c r="C10" s="19">
        <v>3</v>
      </c>
      <c r="D10" s="19">
        <v>2.5499999999999998</v>
      </c>
      <c r="E10" s="19" cm="1">
        <f t="array" ref="E10">calculatereturn(B10,C10,D10)</f>
        <v>4636.3500000000004</v>
      </c>
    </row>
  </sheetData>
  <mergeCells count="1">
    <mergeCell ref="A1:M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2B2FE50C355E41AE972EA405466813" ma:contentTypeVersion="10" ma:contentTypeDescription="Create a new document." ma:contentTypeScope="" ma:versionID="cfea4575615ea3c4103dadff7628c8ba">
  <xsd:schema xmlns:xsd="http://www.w3.org/2001/XMLSchema" xmlns:xs="http://www.w3.org/2001/XMLSchema" xmlns:p="http://schemas.microsoft.com/office/2006/metadata/properties" xmlns:ns3="ab01efc9-b83a-4924-9239-9b9396c5aeba" targetNamespace="http://schemas.microsoft.com/office/2006/metadata/properties" ma:root="true" ma:fieldsID="3c3fea485d9eb90e78316d406eed4182" ns3:_="">
    <xsd:import namespace="ab01efc9-b83a-4924-9239-9b9396c5aeb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01efc9-b83a-4924-9239-9b9396c5ae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01efc9-b83a-4924-9239-9b9396c5aeb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5A7F8D-E8CC-42F4-95D9-1D080167CF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01efc9-b83a-4924-9239-9b9396c5ae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A4EB99-27F9-40D2-89F1-0D471AA13C47}">
  <ds:schemaRefs>
    <ds:schemaRef ds:uri="http://schemas.openxmlformats.org/package/2006/metadata/core-properties"/>
    <ds:schemaRef ds:uri="http://purl.org/dc/terms/"/>
    <ds:schemaRef ds:uri="http://www.w3.org/XML/1998/namespace"/>
    <ds:schemaRef ds:uri="http://purl.org/dc/elements/1.1/"/>
    <ds:schemaRef ds:uri="http://purl.org/dc/dcmitype/"/>
    <ds:schemaRef ds:uri="ab01efc9-b83a-4924-9239-9b9396c5aeba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B12F6C17-86F7-49F1-A938-CC9CA4F7B5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Investment_Log</vt:lpstr>
      <vt:lpstr>Quick_Calculator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Nalie Do (nad1e23)</dc:creator>
  <cp:keywords/>
  <dc:description/>
  <cp:lastModifiedBy>Nalie Do (nad1e23)</cp:lastModifiedBy>
  <cp:revision/>
  <dcterms:created xsi:type="dcterms:W3CDTF">2025-11-22T18:36:03Z</dcterms:created>
  <dcterms:modified xsi:type="dcterms:W3CDTF">2025-11-27T02:17:01Z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0x0101004A2B2FE50C355E41AE972EA405466813</vt:lpwstr>
  </property>
</Properties>
</file>